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medina/Downloads/"/>
    </mc:Choice>
  </mc:AlternateContent>
  <xr:revisionPtr revIDLastSave="0" documentId="13_ncr:1_{952F01C4-027B-6641-BD6A-713CF1F809F0}" xr6:coauthVersionLast="47" xr6:coauthVersionMax="47" xr10:uidLastSave="{00000000-0000-0000-0000-000000000000}"/>
  <bookViews>
    <workbookView xWindow="0" yWindow="660" windowWidth="34560" windowHeight="21680" xr2:uid="{7AB80A69-C315-C644-B0A7-45C3B88ABCC3}"/>
  </bookViews>
  <sheets>
    <sheet name="TIMER0" sheetId="1" r:id="rId1"/>
    <sheet name="TIMER1" sheetId="3" r:id="rId2"/>
    <sheet name="TABLA 7 SEG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C6" i="1"/>
  <c r="B8" i="1"/>
  <c r="B4" i="1"/>
  <c r="B4" i="3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2" i="2"/>
  <c r="B9" i="1" l="1"/>
  <c r="B10" i="1" s="1"/>
  <c r="B13" i="3"/>
  <c r="B14" i="3" s="1"/>
  <c r="C14" i="3" s="1"/>
  <c r="B8" i="3"/>
  <c r="B9" i="3" s="1"/>
  <c r="B11" i="3"/>
  <c r="B10" i="3"/>
  <c r="B13" i="1"/>
  <c r="B14" i="1" s="1"/>
  <c r="B11" i="1"/>
</calcChain>
</file>

<file path=xl/sharedStrings.xml><?xml version="1.0" encoding="utf-8"?>
<sst xmlns="http://schemas.openxmlformats.org/spreadsheetml/2006/main" count="58" uniqueCount="40">
  <si>
    <t>Timer size (bits)</t>
  </si>
  <si>
    <t>System Clock Frecuency (Hz)</t>
  </si>
  <si>
    <t>System Clock Prescaler</t>
  </si>
  <si>
    <t>Clock I/O Frequency (Hz)</t>
  </si>
  <si>
    <t>Clock I/O Prescaler</t>
  </si>
  <si>
    <t>Desired Delay(s)</t>
  </si>
  <si>
    <t>Timer Frecuency (Hz)</t>
  </si>
  <si>
    <t>Tick(s)</t>
  </si>
  <si>
    <t>Maximun Time(s)</t>
  </si>
  <si>
    <t>Minimum Prescaler needed</t>
  </si>
  <si>
    <r>
      <t xml:space="preserve">OCR0A    </t>
    </r>
    <r>
      <rPr>
        <b/>
        <sz val="12"/>
        <color theme="1"/>
        <rFont val="Aptos Narrow"/>
        <scheme val="minor"/>
      </rPr>
      <t xml:space="preserve">  (MODO CTC)</t>
    </r>
  </si>
  <si>
    <r>
      <t xml:space="preserve">TCNT0       </t>
    </r>
    <r>
      <rPr>
        <b/>
        <sz val="12"/>
        <color theme="1"/>
        <rFont val="Aptos Narrow"/>
        <scheme val="minor"/>
      </rPr>
      <t>(MODO NORMAL)</t>
    </r>
  </si>
  <si>
    <t>A</t>
  </si>
  <si>
    <t>B</t>
  </si>
  <si>
    <t>C</t>
  </si>
  <si>
    <t>D</t>
  </si>
  <si>
    <t>E</t>
  </si>
  <si>
    <t>F</t>
  </si>
  <si>
    <t>G</t>
  </si>
  <si>
    <t>BINARIO</t>
  </si>
  <si>
    <t>MOSTRAR</t>
  </si>
  <si>
    <t>HEX</t>
  </si>
  <si>
    <t>01101101</t>
  </si>
  <si>
    <t>01111110</t>
  </si>
  <si>
    <t>00110000</t>
  </si>
  <si>
    <t>01111001</t>
  </si>
  <si>
    <t>00110011</t>
  </si>
  <si>
    <t>01011011</t>
  </si>
  <si>
    <t>01011111</t>
  </si>
  <si>
    <t>01110000</t>
  </si>
  <si>
    <t>01111111</t>
  </si>
  <si>
    <t>01111011</t>
  </si>
  <si>
    <t>01110111</t>
  </si>
  <si>
    <t>00011111</t>
  </si>
  <si>
    <t>01001110</t>
  </si>
  <si>
    <t>00111101</t>
  </si>
  <si>
    <t>01001111</t>
  </si>
  <si>
    <t>01000111</t>
  </si>
  <si>
    <t>FRECUENCIA ENTRE CADA INTERRUPCION:</t>
  </si>
  <si>
    <t>&lt; 60 Hz (NO SE VE PARPADEO)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</si>
</sst>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1" fillId="0" borderId="5" xfId="0" applyFont="1" applyBorder="1"/>
    <xf numFmtId="0" fontId="0" fillId="2" borderId="1" xfId="0" applyFill="1" applyBorder="1"/>
    <xf numFmtId="0" fontId="0" fillId="2" borderId="3" xfId="0" applyFill="1" applyBorder="1"/>
    <xf numFmtId="0" fontId="0" fillId="0" borderId="6" xfId="0" applyBorder="1"/>
    <xf numFmtId="0" fontId="0" fillId="0" borderId="1" xfId="0" applyBorder="1"/>
    <xf numFmtId="0" fontId="0" fillId="0" borderId="0" xfId="0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3" borderId="0" xfId="0" applyFill="1"/>
    <xf numFmtId="0" fontId="0" fillId="3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12700</xdr:colOff>
      <xdr:row>0</xdr:row>
      <xdr:rowOff>12700</xdr:rowOff>
    </xdr:from>
    <xdr:to>
      <xdr:col>14</xdr:col>
      <xdr:colOff>355600</xdr:colOff>
      <xdr:row>12</xdr:row>
      <xdr:rowOff>36972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F76E94-A2CF-2C72-AB99-B014B289F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19700" y="12700"/>
          <a:ext cx="7772400" cy="2500772"/>
        </a:xfrm>
        <a:prstGeom prst="rect">
          <a:avLst/>
        </a:prstGeom>
      </xdr:spPr>
    </xdr:pic>
    <xdr:clientData/>
  </xdr:twoCellAnchor>
  <xdr:twoCellAnchor editAs="oneCell">
    <xdr:from>
      <xdr:col>5</xdr:col>
      <xdr:colOff>12700</xdr:colOff>
      <xdr:row>13</xdr:row>
      <xdr:rowOff>25400</xdr:rowOff>
    </xdr:from>
    <xdr:to>
      <xdr:col>12</xdr:col>
      <xdr:colOff>800100</xdr:colOff>
      <xdr:row>21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1AA2346-7929-4E0C-F19E-CE3CCFE181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19700" y="2692400"/>
          <a:ext cx="6565900" cy="1765300"/>
        </a:xfrm>
        <a:prstGeom prst="rect">
          <a:avLst/>
        </a:prstGeom>
      </xdr:spPr>
    </xdr:pic>
    <xdr:clientData/>
  </xdr:twoCellAnchor>
  <xdr:twoCellAnchor editAs="oneCell">
    <xdr:from>
      <xdr:col>5</xdr:col>
      <xdr:colOff>12700</xdr:colOff>
      <xdr:row>22</xdr:row>
      <xdr:rowOff>114300</xdr:rowOff>
    </xdr:from>
    <xdr:to>
      <xdr:col>14</xdr:col>
      <xdr:colOff>355600</xdr:colOff>
      <xdr:row>30</xdr:row>
      <xdr:rowOff>106928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988CE74-883E-E8FD-B436-C2E6585489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19700" y="4622800"/>
          <a:ext cx="7772400" cy="161822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12700</xdr:colOff>
      <xdr:row>0</xdr:row>
      <xdr:rowOff>12700</xdr:rowOff>
    </xdr:from>
    <xdr:to>
      <xdr:col>14</xdr:col>
      <xdr:colOff>355600</xdr:colOff>
      <xdr:row>12</xdr:row>
      <xdr:rowOff>36972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602C3A-6B85-2E4B-AEB5-171C0C2DE2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19700" y="12700"/>
          <a:ext cx="7772400" cy="250077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127000</xdr:colOff>
      <xdr:row>1</xdr:row>
      <xdr:rowOff>152400</xdr:rowOff>
    </xdr:from>
    <xdr:to>
      <xdr:col>13</xdr:col>
      <xdr:colOff>8207</xdr:colOff>
      <xdr:row>17</xdr:row>
      <xdr:rowOff>165100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25B7DA-E5B9-9A78-6FD4-47E194713D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0" y="355600"/>
          <a:ext cx="2357707" cy="3263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A93F8-1583-3046-BE31-56DE08C205BD}">
  <dimension ref="A1:E14"/>
  <sheetViews>
    <sheetView tabSelected="1" workbookViewId="0">
      <selection activeCell="E17" sqref="E17"/>
    </sheetView>
  </sheetViews>
  <sheetFormatPr baseColWidth="10" defaultRowHeight="16" x14ac:dyDescent="0.2"/>
  <cols>
    <col min="1" max="1" width="25" customWidth="1"/>
    <col min="3" max="3" width="37" bestFit="1" customWidth="1"/>
    <col min="5" max="5" width="25.5" bestFit="1" customWidth="1"/>
  </cols>
  <sheetData>
    <row r="1" spans="1:5" x14ac:dyDescent="0.2">
      <c r="A1" s="3" t="s">
        <v>0</v>
      </c>
      <c r="B1" s="4">
        <v>8</v>
      </c>
    </row>
    <row r="2" spans="1:5" x14ac:dyDescent="0.2">
      <c r="A2" s="3" t="s">
        <v>1</v>
      </c>
      <c r="B2" s="4">
        <v>16000000</v>
      </c>
    </row>
    <row r="3" spans="1:5" x14ac:dyDescent="0.2">
      <c r="A3" s="3" t="s">
        <v>2</v>
      </c>
      <c r="B3" s="4">
        <v>1</v>
      </c>
    </row>
    <row r="4" spans="1:5" x14ac:dyDescent="0.2">
      <c r="A4" s="3" t="s">
        <v>3</v>
      </c>
      <c r="B4" s="4">
        <f>B2/B3</f>
        <v>16000000</v>
      </c>
    </row>
    <row r="5" spans="1:5" x14ac:dyDescent="0.2">
      <c r="A5" s="3" t="s">
        <v>4</v>
      </c>
      <c r="B5" s="4">
        <v>1024</v>
      </c>
    </row>
    <row r="6" spans="1:5" x14ac:dyDescent="0.2">
      <c r="A6" s="3" t="s">
        <v>5</v>
      </c>
      <c r="B6" s="4">
        <v>3.5000000000000001E-3</v>
      </c>
      <c r="C6">
        <f>B6*4</f>
        <v>1.4E-2</v>
      </c>
    </row>
    <row r="8" spans="1:5" x14ac:dyDescent="0.2">
      <c r="A8" s="3" t="s">
        <v>6</v>
      </c>
      <c r="B8" s="3">
        <f>B4/B5</f>
        <v>15625</v>
      </c>
      <c r="C8" t="s">
        <v>38</v>
      </c>
      <c r="D8" s="11">
        <f>1/C6</f>
        <v>71.428571428571431</v>
      </c>
      <c r="E8" t="s">
        <v>39</v>
      </c>
    </row>
    <row r="9" spans="1:5" x14ac:dyDescent="0.2">
      <c r="A9" s="3" t="s">
        <v>7</v>
      </c>
      <c r="B9" s="3">
        <f>1/B8</f>
        <v>6.3999999999999997E-5</v>
      </c>
    </row>
    <row r="10" spans="1:5" ht="17" thickBot="1" x14ac:dyDescent="0.25">
      <c r="A10" s="7" t="s">
        <v>8</v>
      </c>
      <c r="B10" s="7">
        <f>B9*POWER(2,B1)</f>
        <v>1.6383999999999999E-2</v>
      </c>
    </row>
    <row r="11" spans="1:5" ht="17" thickBot="1" x14ac:dyDescent="0.25">
      <c r="A11" s="8" t="s">
        <v>9</v>
      </c>
      <c r="B11" s="2">
        <f>B6*B4/POWER(2,B1)</f>
        <v>218.75</v>
      </c>
    </row>
    <row r="12" spans="1:5" ht="17" thickBot="1" x14ac:dyDescent="0.25"/>
    <row r="13" spans="1:5" ht="17" thickBot="1" x14ac:dyDescent="0.25">
      <c r="A13" s="5" t="s">
        <v>10</v>
      </c>
      <c r="B13" s="2">
        <f>B4*B6/B5</f>
        <v>54.6875</v>
      </c>
    </row>
    <row r="14" spans="1:5" ht="17" thickBot="1" x14ac:dyDescent="0.25">
      <c r="A14" s="6" t="s">
        <v>11</v>
      </c>
      <c r="B14" s="12">
        <f>POWER(2,B1)-B13</f>
        <v>201.3125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315F6-464B-CD42-9129-F9C234E3C212}">
  <dimension ref="A1:C14"/>
  <sheetViews>
    <sheetView workbookViewId="0">
      <selection activeCell="D8" sqref="D8"/>
    </sheetView>
  </sheetViews>
  <sheetFormatPr baseColWidth="10" defaultRowHeight="16" x14ac:dyDescent="0.2"/>
  <cols>
    <col min="1" max="1" width="25" customWidth="1"/>
  </cols>
  <sheetData>
    <row r="1" spans="1:3" x14ac:dyDescent="0.2">
      <c r="A1" s="3" t="s">
        <v>0</v>
      </c>
      <c r="B1" s="4">
        <v>16</v>
      </c>
    </row>
    <row r="2" spans="1:3" x14ac:dyDescent="0.2">
      <c r="A2" s="3" t="s">
        <v>1</v>
      </c>
      <c r="B2" s="4">
        <v>16000000</v>
      </c>
    </row>
    <row r="3" spans="1:3" x14ac:dyDescent="0.2">
      <c r="A3" s="3" t="s">
        <v>2</v>
      </c>
      <c r="B3" s="4">
        <v>1</v>
      </c>
    </row>
    <row r="4" spans="1:3" x14ac:dyDescent="0.2">
      <c r="A4" s="3" t="s">
        <v>3</v>
      </c>
      <c r="B4" s="4">
        <f>B2/B3</f>
        <v>16000000</v>
      </c>
    </row>
    <row r="5" spans="1:3" x14ac:dyDescent="0.2">
      <c r="A5" s="3" t="s">
        <v>4</v>
      </c>
      <c r="B5" s="4">
        <v>1024</v>
      </c>
    </row>
    <row r="6" spans="1:3" x14ac:dyDescent="0.2">
      <c r="A6" s="3" t="s">
        <v>5</v>
      </c>
      <c r="B6" s="4">
        <v>1</v>
      </c>
    </row>
    <row r="8" spans="1:3" x14ac:dyDescent="0.2">
      <c r="A8" s="3" t="s">
        <v>6</v>
      </c>
      <c r="B8" s="3">
        <f>B4/B5</f>
        <v>15625</v>
      </c>
    </row>
    <row r="9" spans="1:3" x14ac:dyDescent="0.2">
      <c r="A9" s="3" t="s">
        <v>7</v>
      </c>
      <c r="B9" s="3">
        <f>1/B8</f>
        <v>6.3999999999999997E-5</v>
      </c>
    </row>
    <row r="10" spans="1:3" ht="17" thickBot="1" x14ac:dyDescent="0.25">
      <c r="A10" s="7" t="s">
        <v>8</v>
      </c>
      <c r="B10" s="7">
        <f>B9*POWER(2,B1)</f>
        <v>4.1943039999999998</v>
      </c>
    </row>
    <row r="11" spans="1:3" ht="17" thickBot="1" x14ac:dyDescent="0.25">
      <c r="A11" s="8" t="s">
        <v>9</v>
      </c>
      <c r="B11" s="2">
        <f>B6*B4/POWER(2,B1)</f>
        <v>244.140625</v>
      </c>
    </row>
    <row r="12" spans="1:3" ht="17" thickBot="1" x14ac:dyDescent="0.25"/>
    <row r="13" spans="1:3" ht="17" thickBot="1" x14ac:dyDescent="0.25">
      <c r="A13" s="5" t="s">
        <v>10</v>
      </c>
      <c r="B13" s="2">
        <f>B4*B6/B5</f>
        <v>15625</v>
      </c>
    </row>
    <row r="14" spans="1:3" ht="17" thickBot="1" x14ac:dyDescent="0.25">
      <c r="A14" s="6" t="s">
        <v>11</v>
      </c>
      <c r="B14" s="1">
        <f>POWER(2,B1)-B13</f>
        <v>49911</v>
      </c>
      <c r="C14" s="11" t="str">
        <f xml:space="preserve"> DEC2HEX(B14)</f>
        <v>C2F7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70094-A75C-0045-B167-762E28E5196D}">
  <dimension ref="A1:J17"/>
  <sheetViews>
    <sheetView workbookViewId="0">
      <selection activeCell="H28" sqref="H28"/>
    </sheetView>
  </sheetViews>
  <sheetFormatPr baseColWidth="10" defaultRowHeight="16" x14ac:dyDescent="0.2"/>
  <cols>
    <col min="2" max="8" width="5.83203125" customWidth="1"/>
  </cols>
  <sheetData>
    <row r="1" spans="1:10" x14ac:dyDescent="0.2">
      <c r="A1" s="9" t="s">
        <v>20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21</v>
      </c>
    </row>
    <row r="2" spans="1:10" x14ac:dyDescent="0.2">
      <c r="A2" s="9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0</v>
      </c>
      <c r="I2" s="10" t="s">
        <v>23</v>
      </c>
      <c r="J2" s="9" t="str">
        <f>_xlfn.CONCAT("0x", TEXT(BIN2HEX(I2,2),0))</f>
        <v>0x7E</v>
      </c>
    </row>
    <row r="3" spans="1:10" x14ac:dyDescent="0.2">
      <c r="A3" s="9">
        <v>1</v>
      </c>
      <c r="B3">
        <v>0</v>
      </c>
      <c r="C3">
        <v>1</v>
      </c>
      <c r="D3">
        <v>1</v>
      </c>
      <c r="E3">
        <v>0</v>
      </c>
      <c r="F3">
        <v>0</v>
      </c>
      <c r="G3">
        <v>0</v>
      </c>
      <c r="H3">
        <v>0</v>
      </c>
      <c r="I3" s="10" t="s">
        <v>24</v>
      </c>
      <c r="J3" s="9" t="str">
        <f t="shared" ref="J3:J17" si="0">_xlfn.CONCAT("0x", TEXT(BIN2HEX(I3,2),0))</f>
        <v>0x30</v>
      </c>
    </row>
    <row r="4" spans="1:10" x14ac:dyDescent="0.2">
      <c r="A4" s="9">
        <v>2</v>
      </c>
      <c r="B4">
        <v>1</v>
      </c>
      <c r="C4">
        <v>1</v>
      </c>
      <c r="D4">
        <v>0</v>
      </c>
      <c r="E4">
        <v>1</v>
      </c>
      <c r="F4">
        <v>1</v>
      </c>
      <c r="G4">
        <v>0</v>
      </c>
      <c r="H4">
        <v>1</v>
      </c>
      <c r="I4" s="10" t="s">
        <v>22</v>
      </c>
      <c r="J4" s="9" t="str">
        <f t="shared" si="0"/>
        <v>0x6D</v>
      </c>
    </row>
    <row r="5" spans="1:10" x14ac:dyDescent="0.2">
      <c r="A5" s="9">
        <v>3</v>
      </c>
      <c r="B5">
        <v>1</v>
      </c>
      <c r="C5">
        <v>1</v>
      </c>
      <c r="D5">
        <v>1</v>
      </c>
      <c r="E5">
        <v>1</v>
      </c>
      <c r="F5">
        <v>0</v>
      </c>
      <c r="G5">
        <v>0</v>
      </c>
      <c r="H5">
        <v>1</v>
      </c>
      <c r="I5" s="10" t="s">
        <v>25</v>
      </c>
      <c r="J5" s="9" t="str">
        <f t="shared" si="0"/>
        <v>0x79</v>
      </c>
    </row>
    <row r="6" spans="1:10" x14ac:dyDescent="0.2">
      <c r="A6" s="9">
        <v>4</v>
      </c>
      <c r="B6">
        <v>0</v>
      </c>
      <c r="C6">
        <v>1</v>
      </c>
      <c r="D6">
        <v>1</v>
      </c>
      <c r="E6">
        <v>0</v>
      </c>
      <c r="F6">
        <v>0</v>
      </c>
      <c r="G6">
        <v>1</v>
      </c>
      <c r="H6">
        <v>1</v>
      </c>
      <c r="I6" s="10" t="s">
        <v>26</v>
      </c>
      <c r="J6" s="9" t="str">
        <f t="shared" si="0"/>
        <v>0x33</v>
      </c>
    </row>
    <row r="7" spans="1:10" x14ac:dyDescent="0.2">
      <c r="A7" s="9">
        <v>5</v>
      </c>
      <c r="B7">
        <v>1</v>
      </c>
      <c r="C7">
        <v>0</v>
      </c>
      <c r="D7">
        <v>1</v>
      </c>
      <c r="E7">
        <v>1</v>
      </c>
      <c r="F7">
        <v>0</v>
      </c>
      <c r="G7">
        <v>1</v>
      </c>
      <c r="H7">
        <v>1</v>
      </c>
      <c r="I7" s="10" t="s">
        <v>27</v>
      </c>
      <c r="J7" s="9" t="str">
        <f t="shared" si="0"/>
        <v>0x5B</v>
      </c>
    </row>
    <row r="8" spans="1:10" x14ac:dyDescent="0.2">
      <c r="A8" s="9">
        <v>6</v>
      </c>
      <c r="B8">
        <v>1</v>
      </c>
      <c r="C8">
        <v>0</v>
      </c>
      <c r="D8">
        <v>1</v>
      </c>
      <c r="E8">
        <v>1</v>
      </c>
      <c r="F8">
        <v>1</v>
      </c>
      <c r="G8">
        <v>1</v>
      </c>
      <c r="H8">
        <v>1</v>
      </c>
      <c r="I8" s="10" t="s">
        <v>28</v>
      </c>
      <c r="J8" s="9" t="str">
        <f t="shared" si="0"/>
        <v>0x5F</v>
      </c>
    </row>
    <row r="9" spans="1:10" x14ac:dyDescent="0.2">
      <c r="A9" s="9">
        <v>7</v>
      </c>
      <c r="B9">
        <v>1</v>
      </c>
      <c r="C9">
        <v>1</v>
      </c>
      <c r="D9">
        <v>1</v>
      </c>
      <c r="E9">
        <v>0</v>
      </c>
      <c r="F9">
        <v>0</v>
      </c>
      <c r="G9">
        <v>0</v>
      </c>
      <c r="H9">
        <v>0</v>
      </c>
      <c r="I9" s="10" t="s">
        <v>29</v>
      </c>
      <c r="J9" s="9" t="str">
        <f t="shared" si="0"/>
        <v>0x70</v>
      </c>
    </row>
    <row r="10" spans="1:10" x14ac:dyDescent="0.2">
      <c r="A10" s="9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 s="10" t="s">
        <v>30</v>
      </c>
      <c r="J10" s="9" t="str">
        <f t="shared" si="0"/>
        <v>0x7F</v>
      </c>
    </row>
    <row r="11" spans="1:10" x14ac:dyDescent="0.2">
      <c r="A11" s="9">
        <v>9</v>
      </c>
      <c r="B11">
        <v>1</v>
      </c>
      <c r="C11">
        <v>1</v>
      </c>
      <c r="D11">
        <v>1</v>
      </c>
      <c r="E11">
        <v>1</v>
      </c>
      <c r="F11">
        <v>0</v>
      </c>
      <c r="G11">
        <v>1</v>
      </c>
      <c r="H11">
        <v>1</v>
      </c>
      <c r="I11" s="10" t="s">
        <v>31</v>
      </c>
      <c r="J11" s="9" t="str">
        <f t="shared" si="0"/>
        <v>0x7B</v>
      </c>
    </row>
    <row r="12" spans="1:10" x14ac:dyDescent="0.2">
      <c r="A12" s="9" t="s">
        <v>12</v>
      </c>
      <c r="B12">
        <v>1</v>
      </c>
      <c r="C12">
        <v>1</v>
      </c>
      <c r="D12">
        <v>1</v>
      </c>
      <c r="E12">
        <v>0</v>
      </c>
      <c r="F12">
        <v>1</v>
      </c>
      <c r="G12">
        <v>1</v>
      </c>
      <c r="H12">
        <v>1</v>
      </c>
      <c r="I12" s="10" t="s">
        <v>32</v>
      </c>
      <c r="J12" s="9" t="str">
        <f t="shared" si="0"/>
        <v>0x77</v>
      </c>
    </row>
    <row r="13" spans="1:10" x14ac:dyDescent="0.2">
      <c r="A13" s="9" t="s">
        <v>13</v>
      </c>
      <c r="B13">
        <v>0</v>
      </c>
      <c r="C13">
        <v>0</v>
      </c>
      <c r="D13">
        <v>1</v>
      </c>
      <c r="E13">
        <v>1</v>
      </c>
      <c r="F13">
        <v>1</v>
      </c>
      <c r="G13">
        <v>1</v>
      </c>
      <c r="H13">
        <v>1</v>
      </c>
      <c r="I13" s="10" t="s">
        <v>33</v>
      </c>
      <c r="J13" s="9" t="str">
        <f t="shared" si="0"/>
        <v>0x1F</v>
      </c>
    </row>
    <row r="14" spans="1:10" x14ac:dyDescent="0.2">
      <c r="A14" s="9" t="s">
        <v>14</v>
      </c>
      <c r="B14">
        <v>1</v>
      </c>
      <c r="C14">
        <v>0</v>
      </c>
      <c r="D14">
        <v>0</v>
      </c>
      <c r="E14">
        <v>1</v>
      </c>
      <c r="F14">
        <v>1</v>
      </c>
      <c r="G14">
        <v>1</v>
      </c>
      <c r="H14">
        <v>0</v>
      </c>
      <c r="I14" s="10" t="s">
        <v>34</v>
      </c>
      <c r="J14" s="9" t="str">
        <f t="shared" si="0"/>
        <v>0x4E</v>
      </c>
    </row>
    <row r="15" spans="1:10" x14ac:dyDescent="0.2">
      <c r="A15" s="9" t="s">
        <v>15</v>
      </c>
      <c r="B15">
        <v>0</v>
      </c>
      <c r="C15">
        <v>1</v>
      </c>
      <c r="D15">
        <v>1</v>
      </c>
      <c r="E15">
        <v>1</v>
      </c>
      <c r="F15">
        <v>1</v>
      </c>
      <c r="G15">
        <v>0</v>
      </c>
      <c r="H15">
        <v>1</v>
      </c>
      <c r="I15" s="10" t="s">
        <v>35</v>
      </c>
      <c r="J15" s="9" t="str">
        <f t="shared" si="0"/>
        <v>0x3D</v>
      </c>
    </row>
    <row r="16" spans="1:10" x14ac:dyDescent="0.2">
      <c r="A16" s="9" t="s">
        <v>16</v>
      </c>
      <c r="B16">
        <v>1</v>
      </c>
      <c r="C16">
        <v>0</v>
      </c>
      <c r="D16">
        <v>0</v>
      </c>
      <c r="E16">
        <v>1</v>
      </c>
      <c r="F16">
        <v>1</v>
      </c>
      <c r="G16">
        <v>1</v>
      </c>
      <c r="H16">
        <v>1</v>
      </c>
      <c r="I16" s="10" t="s">
        <v>36</v>
      </c>
      <c r="J16" s="9" t="str">
        <f t="shared" si="0"/>
        <v>0x4F</v>
      </c>
    </row>
    <row r="17" spans="1:10" x14ac:dyDescent="0.2">
      <c r="A17" s="9" t="s">
        <v>17</v>
      </c>
      <c r="B17">
        <v>1</v>
      </c>
      <c r="C17">
        <v>0</v>
      </c>
      <c r="D17">
        <v>0</v>
      </c>
      <c r="E17">
        <v>0</v>
      </c>
      <c r="F17">
        <v>1</v>
      </c>
      <c r="G17">
        <v>1</v>
      </c>
      <c r="H17">
        <v>1</v>
      </c>
      <c r="I17" s="10" t="s">
        <v>37</v>
      </c>
      <c r="J17" s="9" t="str">
        <f t="shared" si="0"/>
        <v>0x47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TIMER0</vt:lpstr>
      <vt:lpstr>TIMER1</vt:lpstr>
      <vt:lpstr>TABLA 7 SEG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Medina</dc:creator>
  <cp:lastModifiedBy>Javier Medina</cp:lastModifiedBy>
  <dcterms:created xsi:type="dcterms:W3CDTF">2026-02-13T21:41:43Z</dcterms:created>
  <dcterms:modified xsi:type="dcterms:W3CDTF">2026-03-20T15:26:07Z</dcterms:modified>
</cp:coreProperties>
</file>